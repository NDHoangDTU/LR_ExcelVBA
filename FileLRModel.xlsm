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8" windowWidth="14808" windowHeight="8016" activeTab="2"/>
  </bookViews>
  <sheets>
    <sheet name="Classification" sheetId="2" r:id="rId1"/>
    <sheet name="ClassificationProblem0" sheetId="3" r:id="rId2"/>
    <sheet name="Groutability117" sheetId="4" r:id="rId3"/>
  </sheets>
  <functionGroups builtInGroupCount="17"/>
  <calcPr calcId="145621"/>
</workbook>
</file>

<file path=xl/calcChain.xml><?xml version="1.0" encoding="utf-8"?>
<calcChain xmlns="http://schemas.openxmlformats.org/spreadsheetml/2006/main">
  <c r="I17" i="4" l="1"/>
  <c r="I18" i="4"/>
  <c r="I19" i="4"/>
  <c r="I20" i="4"/>
  <c r="I21" i="4"/>
  <c r="I22" i="4"/>
  <c r="I23" i="4"/>
  <c r="I24" i="4"/>
  <c r="I25" i="4"/>
  <c r="I16" i="4"/>
  <c r="I4" i="4"/>
  <c r="I5" i="4"/>
  <c r="I6" i="4"/>
  <c r="I7" i="4"/>
  <c r="I8" i="4"/>
  <c r="I9" i="4"/>
  <c r="I10" i="4"/>
  <c r="I11" i="4"/>
  <c r="I12" i="4"/>
  <c r="I3" i="4"/>
  <c r="I17" i="3"/>
  <c r="I14" i="3"/>
  <c r="I15" i="3"/>
  <c r="I16" i="3"/>
  <c r="I13" i="3"/>
  <c r="I3" i="3"/>
  <c r="I4" i="3"/>
  <c r="I5" i="3"/>
  <c r="I6" i="3"/>
  <c r="I7" i="3"/>
  <c r="I8" i="3"/>
  <c r="I9" i="3"/>
  <c r="I10" i="3"/>
  <c r="I2" i="3"/>
  <c r="I12" i="2"/>
  <c r="G18" i="2"/>
  <c r="H18" i="2" s="1"/>
  <c r="I18" i="2" s="1"/>
  <c r="J18" i="2" s="1"/>
  <c r="G19" i="2"/>
  <c r="H19" i="2" s="1"/>
  <c r="I19" i="2" s="1"/>
  <c r="J19" i="2" s="1"/>
  <c r="G20" i="2"/>
  <c r="H20" i="2" s="1"/>
  <c r="I20" i="2" s="1"/>
  <c r="J20" i="2" s="1"/>
  <c r="G21" i="2"/>
  <c r="H21" i="2" s="1"/>
  <c r="I21" i="2" s="1"/>
  <c r="J21" i="2" s="1"/>
  <c r="G22" i="2"/>
  <c r="H22" i="2" s="1"/>
  <c r="I22" i="2" s="1"/>
  <c r="J22" i="2" s="1"/>
  <c r="G23" i="2"/>
  <c r="H23" i="2" s="1"/>
  <c r="I23" i="2" s="1"/>
  <c r="J23" i="2" s="1"/>
  <c r="G24" i="2"/>
  <c r="H24" i="2" s="1"/>
  <c r="I24" i="2" s="1"/>
  <c r="J24" i="2" s="1"/>
  <c r="G25" i="2"/>
  <c r="H25" i="2" s="1"/>
  <c r="I25" i="2" s="1"/>
  <c r="J25" i="2" s="1"/>
  <c r="I26" i="4" l="1"/>
  <c r="I13" i="4"/>
  <c r="I11" i="3"/>
  <c r="G17" i="2"/>
  <c r="H17" i="2" s="1"/>
  <c r="I17" i="2" s="1"/>
  <c r="J17" i="2" s="1"/>
  <c r="J26" i="2" s="1"/>
  <c r="F3" i="2" l="1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F11" i="2"/>
  <c r="G11" i="2" s="1"/>
  <c r="F2" i="2"/>
  <c r="G2" i="2" s="1"/>
  <c r="H4" i="2" l="1"/>
  <c r="I4" i="2" s="1"/>
  <c r="H5" i="2"/>
  <c r="I5" i="2" s="1"/>
  <c r="H3" i="2"/>
  <c r="I3" i="2" s="1"/>
  <c r="H2" i="2"/>
  <c r="I2" i="2" s="1"/>
  <c r="H11" i="2"/>
  <c r="I11" i="2" s="1"/>
  <c r="H10" i="2"/>
  <c r="I10" i="2" s="1"/>
  <c r="H9" i="2"/>
  <c r="I9" i="2" s="1"/>
  <c r="H8" i="2"/>
  <c r="I8" i="2" s="1"/>
  <c r="H7" i="2"/>
  <c r="I7" i="2" s="1"/>
  <c r="H6" i="2"/>
  <c r="I6" i="2" s="1"/>
</calcChain>
</file>

<file path=xl/sharedStrings.xml><?xml version="1.0" encoding="utf-8"?>
<sst xmlns="http://schemas.openxmlformats.org/spreadsheetml/2006/main" count="80" uniqueCount="23">
  <si>
    <t>Y</t>
  </si>
  <si>
    <t>T</t>
  </si>
  <si>
    <t>X1</t>
  </si>
  <si>
    <t>X2</t>
  </si>
  <si>
    <t>X0</t>
  </si>
  <si>
    <t>Yprob</t>
  </si>
  <si>
    <t>Equal</t>
  </si>
  <si>
    <t>Accuracy</t>
  </si>
  <si>
    <t>W</t>
  </si>
  <si>
    <t>V</t>
  </si>
  <si>
    <t>Num. data</t>
  </si>
  <si>
    <t>Y_prob</t>
  </si>
  <si>
    <t>CAR (%)</t>
  </si>
  <si>
    <t>Num Data</t>
  </si>
  <si>
    <t>Testing</t>
  </si>
  <si>
    <t>Y_Prob_Test</t>
  </si>
  <si>
    <t>Y_Test</t>
  </si>
  <si>
    <t>X5</t>
  </si>
  <si>
    <t>X8</t>
  </si>
  <si>
    <t>Training</t>
  </si>
  <si>
    <t>D 10.soil (mm)</t>
  </si>
  <si>
    <t>d 90.grout (mm)</t>
  </si>
  <si>
    <t>Groutability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</si>
</sst>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E66126"/>
      <color rgb="FFABE824"/>
      <color rgb="FF4B9CC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Classification!$C$16</c:f>
              <c:strCache>
                <c:ptCount val="1"/>
                <c:pt idx="0">
                  <c:v>X2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Classification!$B$17:$B$25</c:f>
              <c:numCache>
                <c:formatCode>General</c:formatCode>
                <c:ptCount val="9"/>
                <c:pt idx="0">
                  <c:v>1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5</c:v>
                </c:pt>
                <c:pt idx="5">
                  <c:v>3.5</c:v>
                </c:pt>
                <c:pt idx="6">
                  <c:v>3.3</c:v>
                </c:pt>
                <c:pt idx="7">
                  <c:v>4.2</c:v>
                </c:pt>
                <c:pt idx="8">
                  <c:v>3.8</c:v>
                </c:pt>
              </c:numCache>
            </c:numRef>
          </c:xVal>
          <c:yVal>
            <c:numRef>
              <c:f>Classification!$C$17:$C$25</c:f>
              <c:numCache>
                <c:formatCode>General</c:formatCode>
                <c:ptCount val="9"/>
                <c:pt idx="0">
                  <c:v>5</c:v>
                </c:pt>
                <c:pt idx="1">
                  <c:v>6</c:v>
                </c:pt>
                <c:pt idx="2">
                  <c:v>5.5</c:v>
                </c:pt>
                <c:pt idx="3">
                  <c:v>7</c:v>
                </c:pt>
                <c:pt idx="4">
                  <c:v>3</c:v>
                </c:pt>
                <c:pt idx="5">
                  <c:v>2</c:v>
                </c:pt>
                <c:pt idx="6">
                  <c:v>3.2</c:v>
                </c:pt>
                <c:pt idx="7">
                  <c:v>2.5</c:v>
                </c:pt>
                <c:pt idx="8">
                  <c:v>3.3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880128"/>
        <c:axId val="139880704"/>
      </c:scatterChart>
      <c:valAx>
        <c:axId val="13988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9880704"/>
        <c:crosses val="autoZero"/>
        <c:crossBetween val="midCat"/>
      </c:valAx>
      <c:valAx>
        <c:axId val="13988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88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Classification!$C$1</c:f>
              <c:strCache>
                <c:ptCount val="1"/>
                <c:pt idx="0">
                  <c:v>T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Classification!$B$2:$B$11</c:f>
              <c:numCache>
                <c:formatCode>General</c:formatCode>
                <c:ptCount val="10"/>
                <c:pt idx="0">
                  <c:v>0.3466828945194671</c:v>
                </c:pt>
                <c:pt idx="1">
                  <c:v>0.84369314409540086</c:v>
                </c:pt>
                <c:pt idx="2">
                  <c:v>0.23164228959505129</c:v>
                </c:pt>
                <c:pt idx="3">
                  <c:v>0.85061360185925583</c:v>
                </c:pt>
                <c:pt idx="4">
                  <c:v>0.63798966574216753</c:v>
                </c:pt>
                <c:pt idx="5">
                  <c:v>0.24270777337657146</c:v>
                </c:pt>
                <c:pt idx="6">
                  <c:v>0.56512270490719574</c:v>
                </c:pt>
                <c:pt idx="7">
                  <c:v>0.41623465087797251</c:v>
                </c:pt>
                <c:pt idx="8">
                  <c:v>0.31765147905588786</c:v>
                </c:pt>
                <c:pt idx="9">
                  <c:v>0.29045991842525687</c:v>
                </c:pt>
              </c:numCache>
            </c:numRef>
          </c:xVal>
          <c:yVal>
            <c:numRef>
              <c:f>Classification!$C$2:$C$11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882432"/>
        <c:axId val="139883008"/>
      </c:scatterChart>
      <c:valAx>
        <c:axId val="13988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9883008"/>
        <c:crosses val="autoZero"/>
        <c:crossBetween val="midCat"/>
      </c:valAx>
      <c:valAx>
        <c:axId val="13988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88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ClassificationProblem0!$C$1</c:f>
              <c:strCache>
                <c:ptCount val="1"/>
                <c:pt idx="0">
                  <c:v>X2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ClassificationProblem0!$B$2:$B$10</c:f>
              <c:numCache>
                <c:formatCode>0.00</c:formatCode>
                <c:ptCount val="9"/>
                <c:pt idx="0">
                  <c:v>1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5</c:v>
                </c:pt>
                <c:pt idx="5">
                  <c:v>3.5</c:v>
                </c:pt>
                <c:pt idx="6">
                  <c:v>3.3</c:v>
                </c:pt>
                <c:pt idx="7">
                  <c:v>4.2</c:v>
                </c:pt>
                <c:pt idx="8">
                  <c:v>3.8</c:v>
                </c:pt>
              </c:numCache>
            </c:numRef>
          </c:xVal>
          <c:yVal>
            <c:numRef>
              <c:f>ClassificationProblem0!$C$2:$C$10</c:f>
              <c:numCache>
                <c:formatCode>0.00</c:formatCode>
                <c:ptCount val="9"/>
                <c:pt idx="0">
                  <c:v>5</c:v>
                </c:pt>
                <c:pt idx="1">
                  <c:v>6</c:v>
                </c:pt>
                <c:pt idx="2">
                  <c:v>5.5</c:v>
                </c:pt>
                <c:pt idx="3">
                  <c:v>7</c:v>
                </c:pt>
                <c:pt idx="4">
                  <c:v>3</c:v>
                </c:pt>
                <c:pt idx="5">
                  <c:v>2</c:v>
                </c:pt>
                <c:pt idx="6">
                  <c:v>3.2</c:v>
                </c:pt>
                <c:pt idx="7">
                  <c:v>2.5</c:v>
                </c:pt>
                <c:pt idx="8">
                  <c:v>3.3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885312"/>
        <c:axId val="139885888"/>
      </c:scatterChart>
      <c:valAx>
        <c:axId val="13988531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39885888"/>
        <c:crosses val="autoZero"/>
        <c:crossBetween val="midCat"/>
      </c:valAx>
      <c:valAx>
        <c:axId val="13988588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98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ClassificationProblem0!$C$12</c:f>
              <c:strCache>
                <c:ptCount val="1"/>
                <c:pt idx="0">
                  <c:v>X2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ClassificationProblem0!$B$13:$B$16</c:f>
              <c:numCache>
                <c:formatCode>General</c:formatCode>
                <c:ptCount val="4"/>
                <c:pt idx="0">
                  <c:v>1.2</c:v>
                </c:pt>
                <c:pt idx="1">
                  <c:v>4.3</c:v>
                </c:pt>
                <c:pt idx="2">
                  <c:v>1.4</c:v>
                </c:pt>
                <c:pt idx="3">
                  <c:v>5.3</c:v>
                </c:pt>
              </c:numCache>
            </c:numRef>
          </c:xVal>
          <c:yVal>
            <c:numRef>
              <c:f>ClassificationProblem0!$C$13:$C$16</c:f>
              <c:numCache>
                <c:formatCode>General</c:formatCode>
                <c:ptCount val="4"/>
                <c:pt idx="0">
                  <c:v>8.8000000000000007</c:v>
                </c:pt>
                <c:pt idx="1">
                  <c:v>4.9000000000000004</c:v>
                </c:pt>
                <c:pt idx="2">
                  <c:v>6.8</c:v>
                </c:pt>
                <c:pt idx="3">
                  <c:v>3.2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99328"/>
        <c:axId val="344499904"/>
      </c:scatterChart>
      <c:valAx>
        <c:axId val="34449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4499904"/>
        <c:crosses val="autoZero"/>
        <c:crossBetween val="midCat"/>
      </c:valAx>
      <c:valAx>
        <c:axId val="34449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4499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370024</xdr:colOff>
      <xdr:row>14</xdr:row>
      <xdr:rowOff>99060</xdr:rowOff>
    </xdr:from>
    <xdr:to>
      <xdr:col>19</xdr:col>
      <xdr:colOff>54714</xdr:colOff>
      <xdr:row>28</xdr:row>
      <xdr:rowOff>163436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291924</xdr:colOff>
      <xdr:row>0</xdr:row>
      <xdr:rowOff>146356</xdr:rowOff>
    </xdr:from>
    <xdr:to>
      <xdr:col>18</xdr:col>
      <xdr:colOff>601454</xdr:colOff>
      <xdr:row>13</xdr:row>
      <xdr:rowOff>99060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384182</xdr:colOff>
      <xdr:row>15</xdr:row>
      <xdr:rowOff>28145</xdr:rowOff>
    </xdr:from>
    <xdr:to>
      <xdr:col>16</xdr:col>
      <xdr:colOff>325062</xdr:colOff>
      <xdr:row>21</xdr:row>
      <xdr:rowOff>60990</xdr:rowOff>
    </xdr:to>
    <xdr:sp macro="" textlink="">
      <xdr:nvSpPr>
        <xdr:cNvPr id="26" name="Oval 25"/>
        <xdr:cNvSpPr/>
      </xdr:nvSpPr>
      <xdr:spPr>
        <a:xfrm>
          <a:off x="7882262" y="2862785"/>
          <a:ext cx="2440240" cy="1175845"/>
        </a:xfrm>
        <a:prstGeom prst="ellipse">
          <a:avLst/>
        </a:prstGeom>
        <a:solidFill>
          <a:srgbClr val="ABE824">
            <a:alpha val="14118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111025</xdr:colOff>
      <xdr:row>21</xdr:row>
      <xdr:rowOff>62597</xdr:rowOff>
    </xdr:from>
    <xdr:to>
      <xdr:col>18</xdr:col>
      <xdr:colOff>111025</xdr:colOff>
      <xdr:row>24</xdr:row>
      <xdr:rowOff>173218</xdr:rowOff>
    </xdr:to>
    <xdr:sp macro="" textlink="">
      <xdr:nvSpPr>
        <xdr:cNvPr id="27" name="Oval 26"/>
        <xdr:cNvSpPr/>
      </xdr:nvSpPr>
      <xdr:spPr>
        <a:xfrm>
          <a:off x="9483625" y="4040237"/>
          <a:ext cx="1874520" cy="682121"/>
        </a:xfrm>
        <a:prstGeom prst="ellipse">
          <a:avLst/>
        </a:prstGeom>
        <a:solidFill>
          <a:srgbClr val="E66126">
            <a:alpha val="1490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576776</xdr:colOff>
      <xdr:row>6</xdr:row>
      <xdr:rowOff>27550</xdr:rowOff>
    </xdr:from>
    <xdr:to>
      <xdr:col>11</xdr:col>
      <xdr:colOff>342314</xdr:colOff>
      <xdr:row>7</xdr:row>
      <xdr:rowOff>129540</xdr:rowOff>
    </xdr:to>
    <xdr:sp macro="" textlink="">
      <xdr:nvSpPr>
        <xdr:cNvPr id="29" name="TextBox 28"/>
        <xdr:cNvSpPr txBox="1"/>
      </xdr:nvSpPr>
      <xdr:spPr>
        <a:xfrm>
          <a:off x="6825176" y="1170550"/>
          <a:ext cx="390378" cy="2924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T</a:t>
          </a:r>
        </a:p>
      </xdr:txBody>
    </xdr:sp>
    <xdr:clientData/>
  </xdr:twoCellAnchor>
  <xdr:twoCellAnchor>
    <xdr:from>
      <xdr:col>15</xdr:col>
      <xdr:colOff>9084</xdr:colOff>
      <xdr:row>28</xdr:row>
      <xdr:rowOff>76494</xdr:rowOff>
    </xdr:from>
    <xdr:to>
      <xdr:col>15</xdr:col>
      <xdr:colOff>399463</xdr:colOff>
      <xdr:row>29</xdr:row>
      <xdr:rowOff>149470</xdr:rowOff>
    </xdr:to>
    <xdr:sp macro="" textlink="">
      <xdr:nvSpPr>
        <xdr:cNvPr id="30" name="TextBox 29"/>
        <xdr:cNvSpPr txBox="1"/>
      </xdr:nvSpPr>
      <xdr:spPr>
        <a:xfrm>
          <a:off x="9381684" y="5357154"/>
          <a:ext cx="390379" cy="2558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X1</a:t>
          </a:r>
        </a:p>
      </xdr:txBody>
    </xdr:sp>
    <xdr:clientData/>
  </xdr:twoCellAnchor>
  <xdr:twoCellAnchor>
    <xdr:from>
      <xdr:col>11</xdr:col>
      <xdr:colOff>39273</xdr:colOff>
      <xdr:row>20</xdr:row>
      <xdr:rowOff>89976</xdr:rowOff>
    </xdr:from>
    <xdr:to>
      <xdr:col>11</xdr:col>
      <xdr:colOff>429651</xdr:colOff>
      <xdr:row>21</xdr:row>
      <xdr:rowOff>170572</xdr:rowOff>
    </xdr:to>
    <xdr:sp macro="" textlink="">
      <xdr:nvSpPr>
        <xdr:cNvPr id="31" name="TextBox 30"/>
        <xdr:cNvSpPr txBox="1"/>
      </xdr:nvSpPr>
      <xdr:spPr>
        <a:xfrm>
          <a:off x="6912513" y="3877116"/>
          <a:ext cx="390378" cy="2710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X2</a:t>
          </a:r>
        </a:p>
      </xdr:txBody>
    </xdr:sp>
    <xdr:clientData/>
  </xdr:twoCellAnchor>
  <xdr:twoCellAnchor>
    <xdr:from>
      <xdr:col>15</xdr:col>
      <xdr:colOff>237393</xdr:colOff>
      <xdr:row>12</xdr:row>
      <xdr:rowOff>59496</xdr:rowOff>
    </xdr:from>
    <xdr:to>
      <xdr:col>16</xdr:col>
      <xdr:colOff>2931</xdr:colOff>
      <xdr:row>13</xdr:row>
      <xdr:rowOff>147712</xdr:rowOff>
    </xdr:to>
    <xdr:sp macro="" textlink="">
      <xdr:nvSpPr>
        <xdr:cNvPr id="9" name="TextBox 8"/>
        <xdr:cNvSpPr txBox="1"/>
      </xdr:nvSpPr>
      <xdr:spPr>
        <a:xfrm>
          <a:off x="9609993" y="2345496"/>
          <a:ext cx="390378" cy="2710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X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248479</xdr:colOff>
      <xdr:row>0</xdr:row>
      <xdr:rowOff>23319</xdr:rowOff>
    </xdr:from>
    <xdr:to>
      <xdr:col>17</xdr:col>
      <xdr:colOff>553279</xdr:colOff>
      <xdr:row>15</xdr:row>
      <xdr:rowOff>40904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230639</xdr:colOff>
      <xdr:row>15</xdr:row>
      <xdr:rowOff>136982</xdr:rowOff>
    </xdr:from>
    <xdr:to>
      <xdr:col>17</xdr:col>
      <xdr:colOff>535439</xdr:colOff>
      <xdr:row>30</xdr:row>
      <xdr:rowOff>154566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205153</xdr:colOff>
      <xdr:row>22</xdr:row>
      <xdr:rowOff>35170</xdr:rowOff>
    </xdr:from>
    <xdr:to>
      <xdr:col>17</xdr:col>
      <xdr:colOff>250873</xdr:colOff>
      <xdr:row>25</xdr:row>
      <xdr:rowOff>172168</xdr:rowOff>
    </xdr:to>
    <xdr:sp macro="" textlink="">
      <xdr:nvSpPr>
        <xdr:cNvPr id="4" name="Oval 3"/>
        <xdr:cNvSpPr/>
      </xdr:nvSpPr>
      <xdr:spPr>
        <a:xfrm>
          <a:off x="8739553" y="4032739"/>
          <a:ext cx="1874520" cy="682121"/>
        </a:xfrm>
        <a:prstGeom prst="ellipse">
          <a:avLst/>
        </a:prstGeom>
        <a:solidFill>
          <a:srgbClr val="E66126">
            <a:alpha val="1490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0.1386</cdr:x>
      <cdr:y>0.05698</cdr:y>
    </cdr:from>
    <cdr:to>
      <cdr:x>0.67234</cdr:x>
      <cdr:y>0.48562</cdr:y>
    </cdr:to>
    <cdr:sp macro="" textlink="">
      <cdr:nvSpPr>
        <cdr:cNvPr id="2" name="Oval 1"/>
        <cdr:cNvSpPr/>
      </cdr:nvSpPr>
      <cdr:spPr>
        <a:xfrm xmlns:a="http://schemas.openxmlformats.org/drawingml/2006/main">
          <a:off x="633687" y="156308"/>
          <a:ext cx="2440240" cy="1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ABE824">
            <a:alpha val="14118"/>
          </a:srgb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0.45039</cdr:x>
      <cdr:y>0.47125</cdr:y>
    </cdr:from>
    <cdr:to>
      <cdr:x>0.86039</cdr:x>
      <cdr:y>0.71991</cdr:y>
    </cdr:to>
    <cdr:sp macro="" textlink="">
      <cdr:nvSpPr>
        <cdr:cNvPr id="3" name="Oval 2"/>
        <cdr:cNvSpPr/>
      </cdr:nvSpPr>
      <cdr:spPr>
        <a:xfrm xmlns:a="http://schemas.openxmlformats.org/drawingml/2006/main">
          <a:off x="2059205" y="1292729"/>
          <a:ext cx="1874520" cy="682121"/>
        </a:xfrm>
        <a:prstGeom xmlns:a="http://schemas.openxmlformats.org/drawingml/2006/main" prst="ellipse">
          <a:avLst/>
        </a:prstGeom>
        <a:solidFill xmlns:a="http://schemas.openxmlformats.org/drawingml/2006/main">
          <a:srgbClr val="E66126">
            <a:alpha val="14902"/>
          </a:srgb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0.55117</cdr:x>
      <cdr:y>0.90673</cdr:y>
    </cdr:from>
    <cdr:to>
      <cdr:x>0.63656</cdr:x>
      <cdr:y>1</cdr:y>
    </cdr:to>
    <cdr:sp macro="" textlink="">
      <cdr:nvSpPr>
        <cdr:cNvPr id="4" name="TextBox 29"/>
        <cdr:cNvSpPr txBox="1"/>
      </cdr:nvSpPr>
      <cdr:spPr>
        <a:xfrm xmlns:a="http://schemas.openxmlformats.org/drawingml/2006/main">
          <a:off x="2519971" y="2545169"/>
          <a:ext cx="390379" cy="255856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X1</a:t>
          </a:r>
        </a:p>
      </cdr:txBody>
    </cdr:sp>
  </cdr:relSizeAnchor>
  <cdr:relSizeAnchor xmlns:cdr="http://schemas.openxmlformats.org/drawingml/2006/chartDrawing">
    <cdr:from>
      <cdr:x>0.01111</cdr:x>
      <cdr:y>0.38828</cdr:y>
    </cdr:from>
    <cdr:to>
      <cdr:x>0.0965</cdr:x>
      <cdr:y>0.50534</cdr:y>
    </cdr:to>
    <cdr:sp macro="" textlink="">
      <cdr:nvSpPr>
        <cdr:cNvPr id="5" name="TextBox 30"/>
        <cdr:cNvSpPr txBox="1"/>
      </cdr:nvSpPr>
      <cdr:spPr>
        <a:xfrm xmlns:a="http://schemas.openxmlformats.org/drawingml/2006/main">
          <a:off x="50800" y="1065130"/>
          <a:ext cx="390378" cy="321123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X2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0.06496</cdr:x>
      <cdr:y>0.01211</cdr:y>
    </cdr:from>
    <cdr:to>
      <cdr:x>0.58974</cdr:x>
      <cdr:y>0.44075</cdr:y>
    </cdr:to>
    <cdr:sp macro="" textlink="">
      <cdr:nvSpPr>
        <cdr:cNvPr id="2" name="Oval 1"/>
        <cdr:cNvSpPr/>
      </cdr:nvSpPr>
      <cdr:spPr>
        <a:xfrm xmlns:a="http://schemas.openxmlformats.org/drawingml/2006/main">
          <a:off x="296984" y="33216"/>
          <a:ext cx="2399323" cy="1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ABE824">
            <a:alpha val="14118"/>
          </a:srgb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</cdr:x>
      <cdr:y>0.44639</cdr:y>
    </cdr:from>
    <cdr:to>
      <cdr:x>0.08538</cdr:x>
      <cdr:y>0.56345</cdr:y>
    </cdr:to>
    <cdr:sp macro="" textlink="">
      <cdr:nvSpPr>
        <cdr:cNvPr id="3" name="TextBox 30"/>
        <cdr:cNvSpPr txBox="1"/>
      </cdr:nvSpPr>
      <cdr:spPr>
        <a:xfrm xmlns:a="http://schemas.openxmlformats.org/drawingml/2006/main">
          <a:off x="0" y="1250122"/>
          <a:ext cx="390378" cy="3278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X2</a:t>
          </a:r>
        </a:p>
      </cdr:txBody>
    </cdr:sp>
  </cdr:relSizeAnchor>
  <cdr:relSizeAnchor xmlns:cdr="http://schemas.openxmlformats.org/drawingml/2006/chartDrawing">
    <cdr:from>
      <cdr:x>0.41401</cdr:x>
      <cdr:y>0.89829</cdr:y>
    </cdr:from>
    <cdr:to>
      <cdr:x>0.49939</cdr:x>
      <cdr:y>0.99156</cdr:y>
    </cdr:to>
    <cdr:sp macro="" textlink="">
      <cdr:nvSpPr>
        <cdr:cNvPr id="4" name="TextBox 29"/>
        <cdr:cNvSpPr txBox="1"/>
      </cdr:nvSpPr>
      <cdr:spPr>
        <a:xfrm xmlns:a="http://schemas.openxmlformats.org/drawingml/2006/main">
          <a:off x="1892853" y="2515705"/>
          <a:ext cx="390379" cy="261204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X1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6"/>
  <sheetViews>
    <sheetView zoomScaleNormal="100" workbookViewId="0">
      <selection activeCell="B39" sqref="B39"/>
    </sheetView>
  </sheetViews>
  <sheetFormatPr defaultColWidth="9.109375" defaultRowHeight="14.4" x14ac:dyDescent="0.3"/>
  <cols>
    <col min="1" max="16384" width="9.109375" style="1"/>
  </cols>
  <sheetData>
    <row r="1" spans="1:11" ht="15" x14ac:dyDescent="0.25">
      <c r="A1" s="2" t="s">
        <v>4</v>
      </c>
      <c r="B1" s="2" t="s">
        <v>2</v>
      </c>
      <c r="C1" s="2" t="s">
        <v>1</v>
      </c>
      <c r="E1" s="1" t="s">
        <v>8</v>
      </c>
      <c r="F1" s="1" t="s">
        <v>9</v>
      </c>
      <c r="G1" s="1" t="s">
        <v>5</v>
      </c>
      <c r="H1" s="1" t="s">
        <v>0</v>
      </c>
      <c r="I1" s="1" t="s">
        <v>6</v>
      </c>
      <c r="J1" s="1" t="s">
        <v>10</v>
      </c>
    </row>
    <row r="2" spans="1:11" ht="15" x14ac:dyDescent="0.25">
      <c r="A2" s="1">
        <v>1</v>
      </c>
      <c r="B2" s="1">
        <v>0.3466828945194671</v>
      </c>
      <c r="C2" s="1">
        <v>0</v>
      </c>
      <c r="E2" s="1">
        <v>-0.48428683315693838</v>
      </c>
      <c r="F2" s="1">
        <f t="shared" ref="F2:F11" si="0">A2*$E$2+B2*$E$3</f>
        <v>-6.0513147009817636E-2</v>
      </c>
      <c r="G2" s="1">
        <f>1/(1+EXP(-1*F2))</f>
        <v>0.48487632800604352</v>
      </c>
      <c r="H2" s="1">
        <f>IF(G2&gt;0.5,1,0)</f>
        <v>0</v>
      </c>
      <c r="I2" s="1">
        <f t="shared" ref="I2:I11" si="1">IF(C2=H2,1,0)</f>
        <v>1</v>
      </c>
      <c r="J2" s="1">
        <v>10</v>
      </c>
    </row>
    <row r="3" spans="1:11" ht="15" x14ac:dyDescent="0.25">
      <c r="A3" s="1">
        <v>1</v>
      </c>
      <c r="B3" s="1">
        <v>0.84369314409540086</v>
      </c>
      <c r="C3" s="1">
        <v>1</v>
      </c>
      <c r="E3" s="1">
        <v>1.2223668743002398</v>
      </c>
      <c r="F3" s="1">
        <f t="shared" si="0"/>
        <v>0.54701571825949857</v>
      </c>
      <c r="G3" s="1">
        <f t="shared" ref="G3:G11" si="2">1/(1+EXP(-1*F3))</f>
        <v>0.63344293808367513</v>
      </c>
      <c r="H3" s="1">
        <f t="shared" ref="H3:H10" si="3">IF(G3&gt;0.5,1,0)</f>
        <v>1</v>
      </c>
      <c r="I3" s="1">
        <f t="shared" si="1"/>
        <v>1</v>
      </c>
    </row>
    <row r="4" spans="1:11" ht="15" x14ac:dyDescent="0.25">
      <c r="A4" s="1">
        <v>1</v>
      </c>
      <c r="B4" s="1">
        <v>0.23164228959505129</v>
      </c>
      <c r="C4" s="1">
        <v>0</v>
      </c>
      <c r="F4" s="1">
        <f t="shared" si="0"/>
        <v>-0.20113497166888455</v>
      </c>
      <c r="G4" s="1">
        <f t="shared" si="2"/>
        <v>0.44988509430829637</v>
      </c>
      <c r="H4" s="1">
        <f t="shared" si="3"/>
        <v>0</v>
      </c>
      <c r="I4" s="1">
        <f t="shared" si="1"/>
        <v>1</v>
      </c>
    </row>
    <row r="5" spans="1:11" ht="15" x14ac:dyDescent="0.25">
      <c r="A5" s="1">
        <v>1</v>
      </c>
      <c r="B5" s="1">
        <v>0.85061360185925583</v>
      </c>
      <c r="C5" s="1">
        <v>1</v>
      </c>
      <c r="F5" s="1">
        <f t="shared" si="0"/>
        <v>0.55547505658502883</v>
      </c>
      <c r="G5" s="1">
        <f t="shared" si="2"/>
        <v>0.63540491062656412</v>
      </c>
      <c r="H5" s="1">
        <f t="shared" si="3"/>
        <v>1</v>
      </c>
      <c r="I5" s="1">
        <f t="shared" si="1"/>
        <v>1</v>
      </c>
    </row>
    <row r="6" spans="1:11" ht="15" x14ac:dyDescent="0.25">
      <c r="A6" s="1">
        <v>1</v>
      </c>
      <c r="B6" s="1">
        <v>0.63798966574216753</v>
      </c>
      <c r="C6" s="1">
        <v>1</v>
      </c>
      <c r="F6" s="1">
        <f t="shared" si="0"/>
        <v>0.2955706003921697</v>
      </c>
      <c r="G6" s="1">
        <f t="shared" si="2"/>
        <v>0.57335935787653081</v>
      </c>
      <c r="H6" s="1">
        <f t="shared" si="3"/>
        <v>1</v>
      </c>
      <c r="I6" s="1">
        <f t="shared" si="1"/>
        <v>1</v>
      </c>
    </row>
    <row r="7" spans="1:11" ht="15" x14ac:dyDescent="0.25">
      <c r="A7" s="1">
        <v>1</v>
      </c>
      <c r="B7" s="1">
        <v>0.24270777337657146</v>
      </c>
      <c r="C7" s="1">
        <v>0</v>
      </c>
      <c r="F7" s="1">
        <f t="shared" si="0"/>
        <v>-0.18760889084624777</v>
      </c>
      <c r="G7" s="1">
        <f t="shared" si="2"/>
        <v>0.45323486330832297</v>
      </c>
      <c r="H7" s="1">
        <f t="shared" si="3"/>
        <v>0</v>
      </c>
      <c r="I7" s="1">
        <f t="shared" si="1"/>
        <v>1</v>
      </c>
    </row>
    <row r="8" spans="1:11" ht="15" x14ac:dyDescent="0.25">
      <c r="A8" s="1">
        <v>1</v>
      </c>
      <c r="B8" s="1">
        <v>0.56512270490719574</v>
      </c>
      <c r="C8" s="1">
        <v>1</v>
      </c>
      <c r="F8" s="1">
        <f t="shared" si="0"/>
        <v>0.20650044123656724</v>
      </c>
      <c r="G8" s="1">
        <f t="shared" si="2"/>
        <v>0.55144243754174638</v>
      </c>
      <c r="H8" s="1">
        <f t="shared" si="3"/>
        <v>1</v>
      </c>
      <c r="I8" s="1">
        <f t="shared" si="1"/>
        <v>1</v>
      </c>
    </row>
    <row r="9" spans="1:11" ht="15" x14ac:dyDescent="0.25">
      <c r="A9" s="1">
        <v>1</v>
      </c>
      <c r="B9" s="1">
        <v>0.41623465087797251</v>
      </c>
      <c r="C9" s="1">
        <v>1</v>
      </c>
      <c r="F9" s="1">
        <f t="shared" si="0"/>
        <v>2.4504616012220481E-2</v>
      </c>
      <c r="G9" s="1">
        <f t="shared" si="2"/>
        <v>0.50612584747065226</v>
      </c>
      <c r="H9" s="1">
        <f t="shared" si="3"/>
        <v>1</v>
      </c>
      <c r="I9" s="1">
        <f t="shared" si="1"/>
        <v>1</v>
      </c>
    </row>
    <row r="10" spans="1:11" ht="15" x14ac:dyDescent="0.25">
      <c r="A10" s="1">
        <v>1</v>
      </c>
      <c r="B10" s="1">
        <v>0.31765147905588786</v>
      </c>
      <c r="C10" s="1">
        <v>0</v>
      </c>
      <c r="F10" s="1">
        <f t="shared" si="0"/>
        <v>-9.6000187586544661E-2</v>
      </c>
      <c r="G10" s="1">
        <f t="shared" si="2"/>
        <v>0.47601836824014376</v>
      </c>
      <c r="H10" s="1">
        <f t="shared" si="3"/>
        <v>0</v>
      </c>
      <c r="I10" s="1">
        <f t="shared" si="1"/>
        <v>1</v>
      </c>
    </row>
    <row r="11" spans="1:11" ht="15" x14ac:dyDescent="0.25">
      <c r="A11" s="1">
        <v>1</v>
      </c>
      <c r="B11" s="1">
        <v>0.29045991842525687</v>
      </c>
      <c r="C11" s="1">
        <v>0</v>
      </c>
      <c r="F11" s="1">
        <f t="shared" si="0"/>
        <v>-0.12923825056195448</v>
      </c>
      <c r="G11" s="1">
        <f t="shared" si="2"/>
        <v>0.46773533331433065</v>
      </c>
      <c r="H11" s="1">
        <f>IF(G11&gt;0.5,1,0)</f>
        <v>0</v>
      </c>
      <c r="I11" s="1">
        <f t="shared" si="1"/>
        <v>1</v>
      </c>
    </row>
    <row r="12" spans="1:11" ht="15" x14ac:dyDescent="0.25">
      <c r="H12" s="1" t="s">
        <v>7</v>
      </c>
      <c r="I12" s="1">
        <f>SUM(I2:I11)*100/J2</f>
        <v>100</v>
      </c>
    </row>
    <row r="16" spans="1:11" ht="15" x14ac:dyDescent="0.25">
      <c r="A16" s="2" t="s">
        <v>4</v>
      </c>
      <c r="B16" s="2" t="s">
        <v>2</v>
      </c>
      <c r="C16" s="2" t="s">
        <v>3</v>
      </c>
      <c r="D16" s="2" t="s">
        <v>1</v>
      </c>
      <c r="F16" s="1" t="s">
        <v>8</v>
      </c>
      <c r="G16" s="1" t="s">
        <v>9</v>
      </c>
      <c r="H16" s="1" t="s">
        <v>5</v>
      </c>
      <c r="I16" s="1" t="s">
        <v>0</v>
      </c>
      <c r="J16" s="1" t="s">
        <v>6</v>
      </c>
      <c r="K16" s="1" t="s">
        <v>10</v>
      </c>
    </row>
    <row r="17" spans="1:11" x14ac:dyDescent="0.3">
      <c r="A17" s="1">
        <v>1</v>
      </c>
      <c r="B17" s="1">
        <v>1</v>
      </c>
      <c r="C17" s="1">
        <v>5</v>
      </c>
      <c r="D17" s="1">
        <v>0</v>
      </c>
      <c r="F17" s="1">
        <v>0.36597962357080938</v>
      </c>
      <c r="G17" s="1">
        <f>A17*$F$17+B17*$F$18+C17*$F$19</f>
        <v>-3.1523140964677951</v>
      </c>
      <c r="H17" s="1">
        <f>1/(1+EXP(-1*G17))</f>
        <v>4.1000193124013387E-2</v>
      </c>
      <c r="I17" s="1">
        <f>IF(H17&gt;0.5,1,0)</f>
        <v>0</v>
      </c>
      <c r="J17" s="1">
        <f t="shared" ref="J17:J25" si="4">IF(D17=I17,1,0)</f>
        <v>1</v>
      </c>
      <c r="K17" s="1">
        <v>9</v>
      </c>
    </row>
    <row r="18" spans="1:11" x14ac:dyDescent="0.3">
      <c r="A18" s="1">
        <v>1</v>
      </c>
      <c r="B18" s="1">
        <v>1.5</v>
      </c>
      <c r="C18" s="1">
        <v>6</v>
      </c>
      <c r="D18" s="1">
        <v>0</v>
      </c>
      <c r="F18" s="1">
        <v>1.3834520462138862</v>
      </c>
      <c r="G18" s="1">
        <f t="shared" ref="G18:G25" si="5">A18*$F$17+B18*$F$18+C18*$F$19</f>
        <v>-3.44093722661135</v>
      </c>
      <c r="H18" s="1">
        <f t="shared" ref="H18:H25" si="6">1/(1+EXP(-1*G18))</f>
        <v>3.1040283004522485E-2</v>
      </c>
      <c r="I18" s="1">
        <f t="shared" ref="I18:I25" si="7">IF(H18&gt;0.5,1,0)</f>
        <v>0</v>
      </c>
      <c r="J18" s="1">
        <f t="shared" si="4"/>
        <v>1</v>
      </c>
    </row>
    <row r="19" spans="1:11" x14ac:dyDescent="0.3">
      <c r="A19" s="1">
        <v>1</v>
      </c>
      <c r="B19" s="1">
        <v>2.5</v>
      </c>
      <c r="C19" s="1">
        <v>5.5</v>
      </c>
      <c r="D19" s="1">
        <v>0</v>
      </c>
      <c r="F19" s="1">
        <v>-0.9803491532504981</v>
      </c>
      <c r="G19" s="1">
        <f t="shared" si="5"/>
        <v>-1.5673106037722144</v>
      </c>
      <c r="H19" s="1">
        <f t="shared" si="6"/>
        <v>0.17260012447339299</v>
      </c>
      <c r="I19" s="1">
        <f t="shared" si="7"/>
        <v>0</v>
      </c>
      <c r="J19" s="1">
        <f t="shared" si="4"/>
        <v>1</v>
      </c>
    </row>
    <row r="20" spans="1:11" x14ac:dyDescent="0.3">
      <c r="A20" s="1">
        <v>1</v>
      </c>
      <c r="B20" s="1">
        <v>3.5</v>
      </c>
      <c r="C20" s="1">
        <v>7</v>
      </c>
      <c r="D20" s="1">
        <v>0</v>
      </c>
      <c r="G20" s="1">
        <f t="shared" si="5"/>
        <v>-1.6543822874340757</v>
      </c>
      <c r="H20" s="1">
        <f t="shared" si="6"/>
        <v>0.16051755015868077</v>
      </c>
      <c r="I20" s="1">
        <f t="shared" si="7"/>
        <v>0</v>
      </c>
      <c r="J20" s="1">
        <f t="shared" si="4"/>
        <v>1</v>
      </c>
    </row>
    <row r="21" spans="1:11" x14ac:dyDescent="0.3">
      <c r="A21" s="1">
        <v>1</v>
      </c>
      <c r="B21" s="1">
        <v>5</v>
      </c>
      <c r="C21" s="1">
        <v>3</v>
      </c>
      <c r="D21" s="1">
        <v>1</v>
      </c>
      <c r="G21" s="1">
        <f t="shared" si="5"/>
        <v>4.3421923948887464</v>
      </c>
      <c r="H21" s="1">
        <f t="shared" si="6"/>
        <v>0.98715905642191903</v>
      </c>
      <c r="I21" s="1">
        <f t="shared" si="7"/>
        <v>1</v>
      </c>
      <c r="J21" s="1">
        <f t="shared" si="4"/>
        <v>1</v>
      </c>
    </row>
    <row r="22" spans="1:11" x14ac:dyDescent="0.3">
      <c r="A22" s="1">
        <v>1</v>
      </c>
      <c r="B22" s="1">
        <v>3.5</v>
      </c>
      <c r="C22" s="1">
        <v>2</v>
      </c>
      <c r="D22" s="1">
        <v>1</v>
      </c>
      <c r="G22" s="1">
        <f t="shared" si="5"/>
        <v>3.2473634788184151</v>
      </c>
      <c r="H22" s="1">
        <f t="shared" si="6"/>
        <v>0.9625782573284456</v>
      </c>
      <c r="I22" s="1">
        <f t="shared" si="7"/>
        <v>1</v>
      </c>
      <c r="J22" s="1">
        <f t="shared" si="4"/>
        <v>1</v>
      </c>
    </row>
    <row r="23" spans="1:11" x14ac:dyDescent="0.3">
      <c r="A23" s="1">
        <v>1</v>
      </c>
      <c r="B23" s="1">
        <v>3.3</v>
      </c>
      <c r="C23" s="1">
        <v>3.2</v>
      </c>
      <c r="D23" s="1">
        <v>1</v>
      </c>
      <c r="G23" s="1">
        <f t="shared" si="5"/>
        <v>1.7942540856750391</v>
      </c>
      <c r="H23" s="1">
        <f t="shared" si="6"/>
        <v>0.85744804831766341</v>
      </c>
      <c r="I23" s="1">
        <f t="shared" si="7"/>
        <v>1</v>
      </c>
      <c r="J23" s="1">
        <f t="shared" si="4"/>
        <v>1</v>
      </c>
    </row>
    <row r="24" spans="1:11" x14ac:dyDescent="0.3">
      <c r="A24" s="1">
        <v>1</v>
      </c>
      <c r="B24" s="1">
        <v>4.2</v>
      </c>
      <c r="C24" s="1">
        <v>2.5</v>
      </c>
      <c r="D24" s="1">
        <v>1</v>
      </c>
      <c r="G24" s="1">
        <f t="shared" si="5"/>
        <v>3.7256053345428866</v>
      </c>
      <c r="H24" s="1">
        <f t="shared" si="6"/>
        <v>0.9764685641521138</v>
      </c>
      <c r="I24" s="1">
        <f t="shared" si="7"/>
        <v>1</v>
      </c>
      <c r="J24" s="1">
        <f t="shared" si="4"/>
        <v>1</v>
      </c>
    </row>
    <row r="25" spans="1:11" x14ac:dyDescent="0.3">
      <c r="A25" s="1">
        <v>1</v>
      </c>
      <c r="B25" s="1">
        <v>3.8</v>
      </c>
      <c r="C25" s="1">
        <v>3.3</v>
      </c>
      <c r="D25" s="1">
        <v>1</v>
      </c>
      <c r="G25" s="1">
        <f t="shared" si="5"/>
        <v>2.3879451934569329</v>
      </c>
      <c r="H25" s="1">
        <f t="shared" si="6"/>
        <v>0.91590343319434075</v>
      </c>
      <c r="I25" s="1">
        <f t="shared" si="7"/>
        <v>1</v>
      </c>
      <c r="J25" s="1">
        <f t="shared" si="4"/>
        <v>1</v>
      </c>
    </row>
    <row r="26" spans="1:11" x14ac:dyDescent="0.3">
      <c r="I26" s="1" t="s">
        <v>7</v>
      </c>
      <c r="J26" s="1">
        <f>SUM(J16:J25)*100/K17</f>
        <v>100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7"/>
  <sheetViews>
    <sheetView zoomScale="130" zoomScaleNormal="130" workbookViewId="0">
      <selection activeCell="G12" sqref="G12:H16"/>
    </sheetView>
  </sheetViews>
  <sheetFormatPr defaultRowHeight="14.4" x14ac:dyDescent="0.3"/>
  <cols>
    <col min="1" max="6" width="8.88671875" style="1"/>
    <col min="7" max="7" width="12.5546875" style="1" bestFit="1" customWidth="1"/>
    <col min="8" max="16384" width="8.88671875" style="1"/>
  </cols>
  <sheetData>
    <row r="1" spans="1:10" x14ac:dyDescent="0.3">
      <c r="A1" s="2" t="s">
        <v>4</v>
      </c>
      <c r="B1" s="2" t="s">
        <v>2</v>
      </c>
      <c r="C1" s="2" t="s">
        <v>3</v>
      </c>
      <c r="D1" s="2" t="s">
        <v>1</v>
      </c>
      <c r="F1" s="1" t="s">
        <v>8</v>
      </c>
      <c r="G1" s="4" t="s">
        <v>11</v>
      </c>
      <c r="H1" s="4" t="s">
        <v>0</v>
      </c>
      <c r="I1" s="2" t="s">
        <v>6</v>
      </c>
      <c r="J1" s="2" t="s">
        <v>13</v>
      </c>
    </row>
    <row r="2" spans="1:10" x14ac:dyDescent="0.3">
      <c r="A2" s="1">
        <v>1</v>
      </c>
      <c r="B2" s="3">
        <v>1</v>
      </c>
      <c r="C2" s="3">
        <v>5</v>
      </c>
      <c r="D2" s="1">
        <v>0</v>
      </c>
      <c r="F2" s="1">
        <v>0.39959677738215577</v>
      </c>
      <c r="G2" s="3">
        <v>0.14077794367786178</v>
      </c>
      <c r="H2" s="3">
        <v>0</v>
      </c>
      <c r="I2" s="1">
        <f>IF(H2=D2,1,0)</f>
        <v>1</v>
      </c>
      <c r="J2" s="1">
        <v>9</v>
      </c>
    </row>
    <row r="3" spans="1:10" x14ac:dyDescent="0.3">
      <c r="A3" s="1">
        <v>1</v>
      </c>
      <c r="B3" s="3">
        <v>1.5</v>
      </c>
      <c r="C3" s="3">
        <v>6</v>
      </c>
      <c r="D3" s="1">
        <v>0</v>
      </c>
      <c r="F3" s="1">
        <v>0.77197133543300778</v>
      </c>
      <c r="G3" s="3">
        <v>0.11722861160199087</v>
      </c>
      <c r="H3" s="3">
        <v>0</v>
      </c>
      <c r="I3" s="1">
        <f t="shared" ref="I3:I10" si="0">IF(H3=D3,1,0)</f>
        <v>1</v>
      </c>
    </row>
    <row r="4" spans="1:10" x14ac:dyDescent="0.3">
      <c r="A4" s="1">
        <v>1</v>
      </c>
      <c r="B4" s="3">
        <v>2.5</v>
      </c>
      <c r="C4" s="3">
        <v>5.5</v>
      </c>
      <c r="D4" s="1">
        <v>0</v>
      </c>
      <c r="F4" s="1">
        <v>-0.59608234511368086</v>
      </c>
      <c r="G4" s="3">
        <v>0.2791005047602691</v>
      </c>
      <c r="H4" s="3">
        <v>0</v>
      </c>
      <c r="I4" s="1">
        <f t="shared" si="0"/>
        <v>1</v>
      </c>
    </row>
    <row r="5" spans="1:10" x14ac:dyDescent="0.3">
      <c r="A5" s="1">
        <v>1</v>
      </c>
      <c r="B5" s="3">
        <v>3.5</v>
      </c>
      <c r="C5" s="3">
        <v>7</v>
      </c>
      <c r="D5" s="1">
        <v>0</v>
      </c>
      <c r="G5" s="3">
        <v>0.25519775906416264</v>
      </c>
      <c r="H5" s="3">
        <v>0</v>
      </c>
      <c r="I5" s="1">
        <f t="shared" si="0"/>
        <v>1</v>
      </c>
    </row>
    <row r="6" spans="1:10" x14ac:dyDescent="0.3">
      <c r="A6" s="1">
        <v>1</v>
      </c>
      <c r="B6" s="3">
        <v>5</v>
      </c>
      <c r="C6" s="3">
        <v>3</v>
      </c>
      <c r="D6" s="1">
        <v>1</v>
      </c>
      <c r="G6" s="3">
        <v>0.9220984695810085</v>
      </c>
      <c r="H6" s="3">
        <v>1</v>
      </c>
      <c r="I6" s="1">
        <f t="shared" si="0"/>
        <v>1</v>
      </c>
    </row>
    <row r="7" spans="1:10" x14ac:dyDescent="0.3">
      <c r="A7" s="1">
        <v>1</v>
      </c>
      <c r="B7" s="3">
        <v>3.5</v>
      </c>
      <c r="C7" s="3">
        <v>2</v>
      </c>
      <c r="D7" s="1">
        <v>1</v>
      </c>
      <c r="G7" s="3">
        <v>0.87094405608682479</v>
      </c>
      <c r="H7" s="3">
        <v>1</v>
      </c>
      <c r="I7" s="1">
        <f t="shared" si="0"/>
        <v>1</v>
      </c>
    </row>
    <row r="8" spans="1:10" x14ac:dyDescent="0.3">
      <c r="A8" s="1">
        <v>1</v>
      </c>
      <c r="B8" s="3">
        <v>3.3</v>
      </c>
      <c r="C8" s="3">
        <v>3.2</v>
      </c>
      <c r="D8" s="1">
        <v>1</v>
      </c>
      <c r="G8" s="3">
        <v>0.73878028311991306</v>
      </c>
      <c r="H8" s="3">
        <v>1</v>
      </c>
      <c r="I8" s="1">
        <f t="shared" si="0"/>
        <v>1</v>
      </c>
    </row>
    <row r="9" spans="1:10" x14ac:dyDescent="0.3">
      <c r="A9" s="1">
        <v>1</v>
      </c>
      <c r="B9" s="3">
        <v>4.2</v>
      </c>
      <c r="C9" s="3">
        <v>2.5</v>
      </c>
      <c r="D9" s="1">
        <v>1</v>
      </c>
      <c r="G9" s="3">
        <v>0.89582477782918957</v>
      </c>
      <c r="H9" s="3">
        <v>1</v>
      </c>
      <c r="I9" s="1">
        <f t="shared" si="0"/>
        <v>1</v>
      </c>
    </row>
    <row r="10" spans="1:10" x14ac:dyDescent="0.3">
      <c r="A10" s="1">
        <v>1</v>
      </c>
      <c r="B10" s="3">
        <v>3.8</v>
      </c>
      <c r="C10" s="3">
        <v>3.3</v>
      </c>
      <c r="D10" s="1">
        <v>1</v>
      </c>
      <c r="G10" s="3">
        <v>0.79673573410396781</v>
      </c>
      <c r="H10" s="3">
        <v>1</v>
      </c>
      <c r="I10" s="1">
        <f t="shared" si="0"/>
        <v>1</v>
      </c>
    </row>
    <row r="11" spans="1:10" x14ac:dyDescent="0.3">
      <c r="A11" s="2" t="s">
        <v>14</v>
      </c>
      <c r="H11" s="2" t="s">
        <v>12</v>
      </c>
      <c r="I11" s="1">
        <f>SUM(I2:I10)*100/J2</f>
        <v>100</v>
      </c>
    </row>
    <row r="12" spans="1:10" x14ac:dyDescent="0.3">
      <c r="A12" s="2" t="s">
        <v>4</v>
      </c>
      <c r="B12" s="2" t="s">
        <v>2</v>
      </c>
      <c r="C12" s="2" t="s">
        <v>3</v>
      </c>
      <c r="D12" s="2" t="s">
        <v>1</v>
      </c>
      <c r="G12" s="2" t="s">
        <v>15</v>
      </c>
      <c r="H12" s="2" t="s">
        <v>16</v>
      </c>
      <c r="I12" s="2" t="s">
        <v>6</v>
      </c>
      <c r="J12" s="2" t="s">
        <v>13</v>
      </c>
    </row>
    <row r="13" spans="1:10" x14ac:dyDescent="0.3">
      <c r="A13" s="1">
        <v>1</v>
      </c>
      <c r="B13" s="1">
        <v>1.2</v>
      </c>
      <c r="C13" s="1">
        <v>8.8000000000000007</v>
      </c>
      <c r="D13" s="1">
        <v>0</v>
      </c>
      <c r="G13" s="3">
        <v>1.9463436964368044E-2</v>
      </c>
      <c r="H13" s="1">
        <v>0</v>
      </c>
      <c r="I13" s="1">
        <f>IF(H13=D13,1,0)</f>
        <v>1</v>
      </c>
      <c r="J13" s="1">
        <v>4</v>
      </c>
    </row>
    <row r="14" spans="1:10" x14ac:dyDescent="0.3">
      <c r="A14" s="1">
        <v>1</v>
      </c>
      <c r="B14" s="1">
        <v>4.3</v>
      </c>
      <c r="C14" s="1">
        <v>4.9000000000000004</v>
      </c>
      <c r="D14" s="1">
        <v>1</v>
      </c>
      <c r="G14" s="3">
        <v>0.68960430192184874</v>
      </c>
      <c r="H14" s="1">
        <v>1</v>
      </c>
      <c r="I14" s="1">
        <f t="shared" ref="I14:I16" si="1">IF(H14=D14,1,0)</f>
        <v>1</v>
      </c>
    </row>
    <row r="15" spans="1:10" x14ac:dyDescent="0.3">
      <c r="A15" s="1">
        <v>1</v>
      </c>
      <c r="B15" s="1">
        <v>1.4</v>
      </c>
      <c r="C15" s="1">
        <v>6.8</v>
      </c>
      <c r="D15" s="1">
        <v>0</v>
      </c>
      <c r="G15" s="3">
        <v>7.0896221759936998E-2</v>
      </c>
      <c r="H15" s="1">
        <v>0</v>
      </c>
      <c r="I15" s="1">
        <f t="shared" si="1"/>
        <v>1</v>
      </c>
    </row>
    <row r="16" spans="1:10" x14ac:dyDescent="0.3">
      <c r="A16" s="1">
        <v>1</v>
      </c>
      <c r="B16" s="1">
        <v>5.3</v>
      </c>
      <c r="C16" s="1">
        <v>3.2</v>
      </c>
      <c r="D16" s="1">
        <v>1</v>
      </c>
      <c r="G16" s="3">
        <v>0.92979739903681202</v>
      </c>
      <c r="H16" s="1">
        <v>1</v>
      </c>
      <c r="I16" s="1">
        <f t="shared" si="1"/>
        <v>1</v>
      </c>
    </row>
    <row r="17" spans="8:9" x14ac:dyDescent="0.3">
      <c r="H17" s="2" t="s">
        <v>12</v>
      </c>
      <c r="I17" s="1">
        <f>SUM(I13:I16)*100/J13</f>
        <v>100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6"/>
  <sheetViews>
    <sheetView tabSelected="1" zoomScaleNormal="100" workbookViewId="0">
      <selection activeCell="E24" sqref="E24"/>
    </sheetView>
  </sheetViews>
  <sheetFormatPr defaultRowHeight="14.4" x14ac:dyDescent="0.3"/>
  <cols>
    <col min="1" max="1" width="8.88671875" style="1"/>
    <col min="2" max="2" width="13.33203125" style="1" bestFit="1" customWidth="1"/>
    <col min="3" max="3" width="14.6640625" style="1" bestFit="1" customWidth="1"/>
    <col min="4" max="4" width="10.77734375" style="1" bestFit="1" customWidth="1"/>
    <col min="5" max="9" width="8.88671875" style="1"/>
    <col min="10" max="10" width="9.88671875" style="1" bestFit="1" customWidth="1"/>
    <col min="11" max="16384" width="8.88671875" style="1"/>
  </cols>
  <sheetData>
    <row r="1" spans="1:18" x14ac:dyDescent="0.3">
      <c r="A1" s="2" t="s">
        <v>19</v>
      </c>
      <c r="B1" s="1" t="s">
        <v>20</v>
      </c>
      <c r="C1" s="1" t="s">
        <v>21</v>
      </c>
      <c r="D1" s="1" t="s">
        <v>22</v>
      </c>
    </row>
    <row r="2" spans="1:18" x14ac:dyDescent="0.3">
      <c r="A2" s="2" t="s">
        <v>4</v>
      </c>
      <c r="B2" s="1" t="s">
        <v>20</v>
      </c>
      <c r="C2" s="1" t="s">
        <v>21</v>
      </c>
      <c r="D2" s="2" t="s">
        <v>1</v>
      </c>
      <c r="F2" s="2" t="s">
        <v>8</v>
      </c>
      <c r="G2" s="2" t="s">
        <v>11</v>
      </c>
      <c r="H2" s="2" t="s">
        <v>0</v>
      </c>
      <c r="I2" s="2" t="s">
        <v>6</v>
      </c>
      <c r="J2" s="2" t="s">
        <v>13</v>
      </c>
      <c r="M2" s="2" t="s">
        <v>4</v>
      </c>
      <c r="N2" s="1" t="s">
        <v>20</v>
      </c>
      <c r="O2" s="1" t="s">
        <v>21</v>
      </c>
      <c r="P2" s="2" t="s">
        <v>1</v>
      </c>
      <c r="Q2" s="2" t="s">
        <v>11</v>
      </c>
      <c r="R2" s="2" t="s">
        <v>0</v>
      </c>
    </row>
    <row r="3" spans="1:18" x14ac:dyDescent="0.3">
      <c r="A3" s="1">
        <v>1</v>
      </c>
      <c r="B3" s="1">
        <v>2.5</v>
      </c>
      <c r="C3" s="1">
        <v>0.04</v>
      </c>
      <c r="D3" s="1">
        <v>1</v>
      </c>
      <c r="F3" s="1">
        <v>-1.5988518046603366</v>
      </c>
      <c r="G3" s="1">
        <v>0.99243254545486403</v>
      </c>
      <c r="H3" s="1">
        <v>1</v>
      </c>
      <c r="I3" s="1">
        <f>IF(H3=D3,1,0)</f>
        <v>1</v>
      </c>
      <c r="J3" s="1">
        <v>10</v>
      </c>
      <c r="M3" s="1">
        <v>1</v>
      </c>
      <c r="N3" s="3">
        <v>2.5</v>
      </c>
      <c r="O3" s="3">
        <v>0.04</v>
      </c>
      <c r="P3" s="1">
        <v>1</v>
      </c>
      <c r="Q3" s="3">
        <v>0.99243254545486403</v>
      </c>
      <c r="R3" s="1">
        <v>1</v>
      </c>
    </row>
    <row r="4" spans="1:18" x14ac:dyDescent="0.3">
      <c r="A4" s="1">
        <v>1</v>
      </c>
      <c r="B4" s="1">
        <v>1.28</v>
      </c>
      <c r="C4" s="1">
        <v>0.04</v>
      </c>
      <c r="D4" s="1">
        <v>1</v>
      </c>
      <c r="F4" s="1">
        <v>2.5933404009517198</v>
      </c>
      <c r="G4" s="1">
        <v>0.84715081255941427</v>
      </c>
      <c r="H4" s="1">
        <v>1</v>
      </c>
      <c r="I4" s="1">
        <f t="shared" ref="I4:I12" si="0">IF(H4=D4,1,0)</f>
        <v>1</v>
      </c>
      <c r="M4" s="1">
        <v>1</v>
      </c>
      <c r="N4" s="3">
        <v>1.28</v>
      </c>
      <c r="O4" s="3">
        <v>0.04</v>
      </c>
      <c r="P4" s="1">
        <v>1</v>
      </c>
      <c r="Q4" s="3">
        <v>0.84715081255941427</v>
      </c>
      <c r="R4" s="1">
        <v>1</v>
      </c>
    </row>
    <row r="5" spans="1:18" x14ac:dyDescent="0.3">
      <c r="A5" s="1">
        <v>1</v>
      </c>
      <c r="B5" s="1">
        <v>0.6</v>
      </c>
      <c r="C5" s="1">
        <v>0.04</v>
      </c>
      <c r="D5" s="1">
        <v>1</v>
      </c>
      <c r="F5" s="1">
        <v>-0.20492267627424304</v>
      </c>
      <c r="G5" s="1">
        <v>0.4872416522913251</v>
      </c>
      <c r="H5" s="1">
        <v>0</v>
      </c>
      <c r="I5" s="1">
        <f t="shared" si="0"/>
        <v>0</v>
      </c>
      <c r="M5" s="1">
        <v>1</v>
      </c>
      <c r="N5" s="3">
        <v>0.6</v>
      </c>
      <c r="O5" s="3">
        <v>0.04</v>
      </c>
      <c r="P5" s="1">
        <v>1</v>
      </c>
      <c r="Q5" s="3">
        <v>0.4872416522913251</v>
      </c>
      <c r="R5" s="1">
        <v>0</v>
      </c>
    </row>
    <row r="6" spans="1:18" x14ac:dyDescent="0.3">
      <c r="A6" s="1">
        <v>1</v>
      </c>
      <c r="B6" s="1">
        <v>0.76</v>
      </c>
      <c r="C6" s="1">
        <v>0.04</v>
      </c>
      <c r="D6" s="1">
        <v>1</v>
      </c>
      <c r="G6" s="1">
        <v>0.58998176444086958</v>
      </c>
      <c r="H6" s="1">
        <v>1</v>
      </c>
      <c r="I6" s="1">
        <f t="shared" si="0"/>
        <v>1</v>
      </c>
      <c r="M6" s="1">
        <v>1</v>
      </c>
      <c r="N6" s="3">
        <v>0.76</v>
      </c>
      <c r="O6" s="3">
        <v>0.04</v>
      </c>
      <c r="P6" s="1">
        <v>1</v>
      </c>
      <c r="Q6" s="3">
        <v>0.58998176444086958</v>
      </c>
      <c r="R6" s="1">
        <v>1</v>
      </c>
    </row>
    <row r="7" spans="1:18" x14ac:dyDescent="0.3">
      <c r="A7" s="1">
        <v>1</v>
      </c>
      <c r="B7" s="1">
        <v>0.76</v>
      </c>
      <c r="C7" s="1">
        <v>0.04</v>
      </c>
      <c r="D7" s="1">
        <v>1</v>
      </c>
      <c r="G7" s="1">
        <v>0.58998176444086958</v>
      </c>
      <c r="H7" s="1">
        <v>1</v>
      </c>
      <c r="I7" s="1">
        <f t="shared" si="0"/>
        <v>1</v>
      </c>
      <c r="M7" s="1">
        <v>1</v>
      </c>
      <c r="N7" s="3">
        <v>0.76</v>
      </c>
      <c r="O7" s="3">
        <v>0.04</v>
      </c>
      <c r="P7" s="1">
        <v>1</v>
      </c>
      <c r="Q7" s="3">
        <v>0.58998176444086958</v>
      </c>
      <c r="R7" s="1">
        <v>1</v>
      </c>
    </row>
    <row r="8" spans="1:18" x14ac:dyDescent="0.3">
      <c r="A8" s="1">
        <v>1</v>
      </c>
      <c r="B8" s="1">
        <v>0.32</v>
      </c>
      <c r="C8" s="1">
        <v>0.04</v>
      </c>
      <c r="D8" s="1">
        <v>0</v>
      </c>
      <c r="G8" s="1">
        <v>0.31492802536127873</v>
      </c>
      <c r="H8" s="1">
        <v>0</v>
      </c>
      <c r="I8" s="1">
        <f t="shared" si="0"/>
        <v>1</v>
      </c>
      <c r="M8" s="1">
        <v>1</v>
      </c>
      <c r="N8" s="3">
        <v>0.32</v>
      </c>
      <c r="O8" s="3">
        <v>0.04</v>
      </c>
      <c r="P8" s="1">
        <v>0</v>
      </c>
      <c r="Q8" s="3">
        <v>0.31492802536127873</v>
      </c>
      <c r="R8" s="1">
        <v>0</v>
      </c>
    </row>
    <row r="9" spans="1:18" x14ac:dyDescent="0.3">
      <c r="A9" s="1">
        <v>1</v>
      </c>
      <c r="B9" s="1">
        <v>0.32</v>
      </c>
      <c r="C9" s="1">
        <v>0.04</v>
      </c>
      <c r="D9" s="1">
        <v>0</v>
      </c>
      <c r="G9" s="1">
        <v>0.31492802536127873</v>
      </c>
      <c r="H9" s="1">
        <v>0</v>
      </c>
      <c r="I9" s="1">
        <f t="shared" si="0"/>
        <v>1</v>
      </c>
      <c r="M9" s="1">
        <v>1</v>
      </c>
      <c r="N9" s="3">
        <v>0.32</v>
      </c>
      <c r="O9" s="3">
        <v>0.04</v>
      </c>
      <c r="P9" s="1">
        <v>0</v>
      </c>
      <c r="Q9" s="3">
        <v>0.31492802536127873</v>
      </c>
      <c r="R9" s="1">
        <v>0</v>
      </c>
    </row>
    <row r="10" spans="1:18" x14ac:dyDescent="0.3">
      <c r="A10" s="1">
        <v>1</v>
      </c>
      <c r="B10" s="1">
        <v>0.32</v>
      </c>
      <c r="C10" s="1">
        <v>0.04</v>
      </c>
      <c r="D10" s="1">
        <v>0</v>
      </c>
      <c r="G10" s="1">
        <v>0.31492802536127873</v>
      </c>
      <c r="H10" s="1">
        <v>0</v>
      </c>
      <c r="I10" s="1">
        <f t="shared" si="0"/>
        <v>1</v>
      </c>
      <c r="M10" s="1">
        <v>1</v>
      </c>
      <c r="N10" s="3">
        <v>0.32</v>
      </c>
      <c r="O10" s="3">
        <v>0.04</v>
      </c>
      <c r="P10" s="1">
        <v>0</v>
      </c>
      <c r="Q10" s="3">
        <v>0.31492802536127873</v>
      </c>
      <c r="R10" s="1">
        <v>0</v>
      </c>
    </row>
    <row r="11" spans="1:18" x14ac:dyDescent="0.3">
      <c r="A11" s="1">
        <v>1</v>
      </c>
      <c r="B11" s="1">
        <v>0.32</v>
      </c>
      <c r="C11" s="1">
        <v>0.04</v>
      </c>
      <c r="D11" s="1">
        <v>0</v>
      </c>
      <c r="G11" s="1">
        <v>0.31492802536127873</v>
      </c>
      <c r="H11" s="1">
        <v>0</v>
      </c>
      <c r="I11" s="1">
        <f t="shared" si="0"/>
        <v>1</v>
      </c>
      <c r="M11" s="1">
        <v>1</v>
      </c>
      <c r="N11" s="3">
        <v>0.32</v>
      </c>
      <c r="O11" s="3">
        <v>0.04</v>
      </c>
      <c r="P11" s="1">
        <v>0</v>
      </c>
      <c r="Q11" s="3">
        <v>0.31492802536127873</v>
      </c>
      <c r="R11" s="1">
        <v>0</v>
      </c>
    </row>
    <row r="12" spans="1:18" x14ac:dyDescent="0.3">
      <c r="A12" s="1">
        <v>1</v>
      </c>
      <c r="B12" s="1">
        <v>0.32</v>
      </c>
      <c r="C12" s="1">
        <v>0.04</v>
      </c>
      <c r="D12" s="1">
        <v>0</v>
      </c>
      <c r="G12" s="1">
        <v>0.31492802536127873</v>
      </c>
      <c r="H12" s="1">
        <v>0</v>
      </c>
      <c r="I12" s="1">
        <f t="shared" si="0"/>
        <v>1</v>
      </c>
      <c r="M12" s="1">
        <v>1</v>
      </c>
      <c r="N12" s="3">
        <v>0.32</v>
      </c>
      <c r="O12" s="3">
        <v>0.04</v>
      </c>
      <c r="P12" s="1">
        <v>0</v>
      </c>
      <c r="Q12" s="3">
        <v>0.31492802536127873</v>
      </c>
      <c r="R12" s="1">
        <v>0</v>
      </c>
    </row>
    <row r="13" spans="1:18" x14ac:dyDescent="0.3">
      <c r="H13" s="1" t="s">
        <v>12</v>
      </c>
      <c r="I13" s="1">
        <f>SUM(I3:I12)*100/J3</f>
        <v>90</v>
      </c>
    </row>
    <row r="14" spans="1:18" x14ac:dyDescent="0.3">
      <c r="A14" s="2" t="s">
        <v>14</v>
      </c>
      <c r="B14" s="1" t="s">
        <v>20</v>
      </c>
      <c r="C14" s="1" t="s">
        <v>21</v>
      </c>
      <c r="D14" s="1" t="s">
        <v>22</v>
      </c>
    </row>
    <row r="15" spans="1:18" x14ac:dyDescent="0.3">
      <c r="A15" s="2" t="s">
        <v>4</v>
      </c>
      <c r="B15" s="2" t="s">
        <v>17</v>
      </c>
      <c r="C15" s="2" t="s">
        <v>18</v>
      </c>
      <c r="D15" s="2" t="s">
        <v>1</v>
      </c>
      <c r="G15" s="2" t="s">
        <v>11</v>
      </c>
      <c r="H15" s="2" t="s">
        <v>0</v>
      </c>
      <c r="I15" s="2" t="s">
        <v>6</v>
      </c>
      <c r="J15" s="2" t="s">
        <v>13</v>
      </c>
    </row>
    <row r="16" spans="1:18" x14ac:dyDescent="0.3">
      <c r="A16" s="1">
        <v>1</v>
      </c>
      <c r="B16" s="1">
        <v>0.54</v>
      </c>
      <c r="C16" s="1">
        <v>0.04</v>
      </c>
      <c r="D16" s="1">
        <v>0</v>
      </c>
      <c r="G16" s="1">
        <v>0.44852183150567054</v>
      </c>
      <c r="H16" s="1">
        <v>0</v>
      </c>
      <c r="I16" s="1">
        <f>IF(H16=D16,1,0)</f>
        <v>1</v>
      </c>
      <c r="J16" s="1">
        <v>10</v>
      </c>
      <c r="M16" s="2" t="s">
        <v>4</v>
      </c>
      <c r="N16" s="2" t="s">
        <v>17</v>
      </c>
      <c r="O16" s="2" t="s">
        <v>18</v>
      </c>
      <c r="P16" s="2" t="s">
        <v>1</v>
      </c>
      <c r="Q16" s="2" t="s">
        <v>11</v>
      </c>
      <c r="R16" s="2" t="s">
        <v>0</v>
      </c>
    </row>
    <row r="17" spans="1:18" x14ac:dyDescent="0.3">
      <c r="A17" s="1">
        <v>1</v>
      </c>
      <c r="B17" s="1">
        <v>0.6</v>
      </c>
      <c r="C17" s="1">
        <v>0.04</v>
      </c>
      <c r="D17" s="1">
        <v>0</v>
      </c>
      <c r="G17" s="1">
        <v>0.4872416522913251</v>
      </c>
      <c r="H17" s="1">
        <v>0</v>
      </c>
      <c r="I17" s="1">
        <f t="shared" ref="I17:I25" si="1">IF(H17=D17,1,0)</f>
        <v>1</v>
      </c>
      <c r="M17" s="1">
        <v>1</v>
      </c>
      <c r="N17" s="3">
        <v>0.54</v>
      </c>
      <c r="O17" s="3">
        <v>0.04</v>
      </c>
      <c r="P17" s="1">
        <v>0</v>
      </c>
      <c r="Q17" s="3">
        <v>0.44852183150567054</v>
      </c>
      <c r="R17" s="1">
        <v>0</v>
      </c>
    </row>
    <row r="18" spans="1:18" x14ac:dyDescent="0.3">
      <c r="A18" s="1">
        <v>1</v>
      </c>
      <c r="B18" s="1">
        <v>0.76</v>
      </c>
      <c r="C18" s="1">
        <v>0.04</v>
      </c>
      <c r="D18" s="1">
        <v>1</v>
      </c>
      <c r="G18" s="1">
        <v>0.58998176444086958</v>
      </c>
      <c r="H18" s="1">
        <v>1</v>
      </c>
      <c r="I18" s="1">
        <f t="shared" si="1"/>
        <v>1</v>
      </c>
      <c r="M18" s="1">
        <v>1</v>
      </c>
      <c r="N18" s="3">
        <v>0.6</v>
      </c>
      <c r="O18" s="3">
        <v>0.04</v>
      </c>
      <c r="P18" s="1">
        <v>0</v>
      </c>
      <c r="Q18" s="3">
        <v>0.4872416522913251</v>
      </c>
      <c r="R18" s="1">
        <v>0</v>
      </c>
    </row>
    <row r="19" spans="1:18" x14ac:dyDescent="0.3">
      <c r="A19" s="1">
        <v>1</v>
      </c>
      <c r="B19" s="1">
        <v>0.12</v>
      </c>
      <c r="C19" s="1">
        <v>8.0000000000000004E-4</v>
      </c>
      <c r="D19" s="1">
        <v>1</v>
      </c>
      <c r="G19" s="1">
        <v>0.21622289220006735</v>
      </c>
      <c r="H19" s="1">
        <v>0</v>
      </c>
      <c r="I19" s="1">
        <f t="shared" si="1"/>
        <v>0</v>
      </c>
      <c r="M19" s="1">
        <v>1</v>
      </c>
      <c r="N19" s="3">
        <v>0.76</v>
      </c>
      <c r="O19" s="3">
        <v>0.04</v>
      </c>
      <c r="P19" s="1">
        <v>1</v>
      </c>
      <c r="Q19" s="3">
        <v>0.58998176444086958</v>
      </c>
      <c r="R19" s="1">
        <v>1</v>
      </c>
    </row>
    <row r="20" spans="1:18" x14ac:dyDescent="0.3">
      <c r="A20" s="1">
        <v>1</v>
      </c>
      <c r="B20" s="1">
        <v>0.11</v>
      </c>
      <c r="C20" s="1">
        <v>8.0000000000000004E-4</v>
      </c>
      <c r="D20" s="1">
        <v>0</v>
      </c>
      <c r="G20" s="1">
        <v>0.21186029407493623</v>
      </c>
      <c r="H20" s="1">
        <v>0</v>
      </c>
      <c r="I20" s="1">
        <f t="shared" si="1"/>
        <v>1</v>
      </c>
      <c r="M20" s="1">
        <v>1</v>
      </c>
      <c r="N20" s="3">
        <v>0.12</v>
      </c>
      <c r="O20" s="3">
        <v>8.0000000000000004E-4</v>
      </c>
      <c r="P20" s="1">
        <v>1</v>
      </c>
      <c r="Q20" s="3">
        <v>0.21622289220006735</v>
      </c>
      <c r="R20" s="1">
        <v>0</v>
      </c>
    </row>
    <row r="21" spans="1:18" x14ac:dyDescent="0.3">
      <c r="A21" s="1">
        <v>1</v>
      </c>
      <c r="B21" s="1">
        <v>0.12</v>
      </c>
      <c r="C21" s="1">
        <v>8.0000000000000004E-4</v>
      </c>
      <c r="D21" s="1">
        <v>1</v>
      </c>
      <c r="G21" s="1">
        <v>0.21622289220006735</v>
      </c>
      <c r="H21" s="1">
        <v>0</v>
      </c>
      <c r="I21" s="1">
        <f t="shared" si="1"/>
        <v>0</v>
      </c>
      <c r="M21" s="1">
        <v>1</v>
      </c>
      <c r="N21" s="3">
        <v>0.11</v>
      </c>
      <c r="O21" s="3">
        <v>8.0000000000000004E-4</v>
      </c>
      <c r="P21" s="1">
        <v>0</v>
      </c>
      <c r="Q21" s="3">
        <v>0.21186029407493623</v>
      </c>
      <c r="R21" s="1">
        <v>0</v>
      </c>
    </row>
    <row r="22" spans="1:18" x14ac:dyDescent="0.3">
      <c r="A22" s="1">
        <v>1</v>
      </c>
      <c r="B22" s="1">
        <v>0.54</v>
      </c>
      <c r="C22" s="1">
        <v>0.04</v>
      </c>
      <c r="D22" s="1">
        <v>0</v>
      </c>
      <c r="G22" s="1">
        <v>0.44852183150567054</v>
      </c>
      <c r="H22" s="1">
        <v>0</v>
      </c>
      <c r="I22" s="1">
        <f t="shared" si="1"/>
        <v>1</v>
      </c>
      <c r="M22" s="1">
        <v>1</v>
      </c>
      <c r="N22" s="3">
        <v>0.12</v>
      </c>
      <c r="O22" s="3">
        <v>8.0000000000000004E-4</v>
      </c>
      <c r="P22" s="1">
        <v>1</v>
      </c>
      <c r="Q22" s="3">
        <v>0.21622289220006735</v>
      </c>
      <c r="R22" s="1">
        <v>0</v>
      </c>
    </row>
    <row r="23" spans="1:18" x14ac:dyDescent="0.3">
      <c r="A23" s="1">
        <v>1</v>
      </c>
      <c r="B23" s="1">
        <v>0.6</v>
      </c>
      <c r="C23" s="1">
        <v>0.04</v>
      </c>
      <c r="D23" s="1">
        <v>0</v>
      </c>
      <c r="G23" s="1">
        <v>0.4872416522913251</v>
      </c>
      <c r="H23" s="1">
        <v>0</v>
      </c>
      <c r="I23" s="1">
        <f t="shared" si="1"/>
        <v>1</v>
      </c>
      <c r="M23" s="1">
        <v>1</v>
      </c>
      <c r="N23" s="3">
        <v>0.54</v>
      </c>
      <c r="O23" s="3">
        <v>0.04</v>
      </c>
      <c r="P23" s="1">
        <v>0</v>
      </c>
      <c r="Q23" s="3">
        <v>0.44852183150567054</v>
      </c>
      <c r="R23" s="1">
        <v>0</v>
      </c>
    </row>
    <row r="24" spans="1:18" x14ac:dyDescent="0.3">
      <c r="A24" s="1">
        <v>1</v>
      </c>
      <c r="B24" s="1">
        <v>0.76</v>
      </c>
      <c r="C24" s="1">
        <v>0.04</v>
      </c>
      <c r="D24" s="1">
        <v>1</v>
      </c>
      <c r="G24" s="1">
        <v>0.58998176444086958</v>
      </c>
      <c r="H24" s="1">
        <v>1</v>
      </c>
      <c r="I24" s="1">
        <f t="shared" si="1"/>
        <v>1</v>
      </c>
      <c r="M24" s="1">
        <v>1</v>
      </c>
      <c r="N24" s="3">
        <v>0.6</v>
      </c>
      <c r="O24" s="3">
        <v>0.04</v>
      </c>
      <c r="P24" s="1">
        <v>0</v>
      </c>
      <c r="Q24" s="3">
        <v>0.4872416522913251</v>
      </c>
      <c r="R24" s="1">
        <v>0</v>
      </c>
    </row>
    <row r="25" spans="1:18" x14ac:dyDescent="0.3">
      <c r="A25" s="1">
        <v>1</v>
      </c>
      <c r="B25" s="1">
        <v>0.76</v>
      </c>
      <c r="C25" s="1">
        <v>0.04</v>
      </c>
      <c r="D25" s="1">
        <v>0</v>
      </c>
      <c r="G25" s="1">
        <v>0.58998176444086958</v>
      </c>
      <c r="H25" s="1">
        <v>1</v>
      </c>
      <c r="I25" s="1">
        <f t="shared" si="1"/>
        <v>0</v>
      </c>
      <c r="M25" s="1">
        <v>1</v>
      </c>
      <c r="N25" s="3">
        <v>0.76</v>
      </c>
      <c r="O25" s="3">
        <v>0.04</v>
      </c>
      <c r="P25" s="1">
        <v>1</v>
      </c>
      <c r="Q25" s="3">
        <v>0.58998176444086958</v>
      </c>
      <c r="R25" s="1">
        <v>1</v>
      </c>
    </row>
    <row r="26" spans="1:18" x14ac:dyDescent="0.3">
      <c r="H26" s="1" t="s">
        <v>12</v>
      </c>
      <c r="I26" s="1">
        <f>SUM(I16:I25)*100/J16</f>
        <v>70</v>
      </c>
      <c r="M26" s="1">
        <v>1</v>
      </c>
      <c r="N26" s="3">
        <v>0.76</v>
      </c>
      <c r="O26" s="3">
        <v>0.04</v>
      </c>
      <c r="P26" s="1">
        <v>0</v>
      </c>
      <c r="Q26" s="3">
        <v>0.58998176444086958</v>
      </c>
      <c r="R26" s="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</vt:lpstr>
      <vt:lpstr>ClassificationProblem0</vt:lpstr>
      <vt:lpstr>Groutability117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2022-06-16T09:44:11Z</dcterms:modified>
</cp:coreProperties>
</file>